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mua" sheetId="1" state="visible" r:id="rId3"/>
    <sheet name="Tổng hợp" sheetId="2" state="visible" r:id="rId4"/>
    <sheet name="Đã có sẵ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2" authorId="0">
      <text>
        <r>
          <rPr>
            <sz val="10"/>
            <rFont val="Arial"/>
            <family val="2"/>
          </rPr>
          <t xml:space="preserve">Giá ước tính, chưa có trang shop xác nhận — cập nhật khi mua.</t>
        </r>
      </text>
    </comment>
    <comment ref="G14" authorId="0">
      <text>
        <r>
          <rPr>
            <sz val="10"/>
            <rFont val="Arial"/>
            <family val="2"/>
          </rPr>
          <t xml:space="preserve">Giá ước tính, chưa có trang shop xác nhận — cập nhật khi mua.</t>
        </r>
      </text>
    </comment>
  </commentList>
</comments>
</file>

<file path=xl/sharedStrings.xml><?xml version="1.0" encoding="utf-8"?>
<sst xmlns="http://schemas.openxmlformats.org/spreadsheetml/2006/main" count="143" uniqueCount="86">
  <si>
    <t xml:space="preserve">Danh sách mua linh kiện đợt 1 – Thiết bị đeo tay giám sát sức khỏe</t>
  </si>
  <si>
    <t xml:space="preserve">Giá kiểm tra trên trang của từng shop ngày 05/10/2026. Ô nền vàng là ô để bạn điền: Trạng thái (chọn trong danh sách), Thực trả, Ngày nhận.</t>
  </si>
  <si>
    <t xml:space="preserve">STT</t>
  </si>
  <si>
    <t xml:space="preserve">Nhóm</t>
  </si>
  <si>
    <t xml:space="preserve">Món</t>
  </si>
  <si>
    <t xml:space="preserve">Dùng để</t>
  </si>
  <si>
    <t xml:space="preserve">Nơi mua</t>
  </si>
  <si>
    <t xml:space="preserve">SL</t>
  </si>
  <si>
    <t xml:space="preserve">Đơn giá</t>
  </si>
  <si>
    <t xml:space="preserve">Thành tiền</t>
  </si>
  <si>
    <t xml:space="preserve">Giá ước tính?</t>
  </si>
  <si>
    <t xml:space="preserve">Trạng thái</t>
  </si>
  <si>
    <t xml:space="preserve">Thực trả</t>
  </si>
  <si>
    <t xml:space="preserve">Ngày nhận</t>
  </si>
  <si>
    <t xml:space="preserve">Ghi chú</t>
  </si>
  <si>
    <t xml:space="preserve">Link</t>
  </si>
  <si>
    <t xml:space="preserve">Vi điều khiển, cảm biến</t>
  </si>
  <si>
    <t xml:space="preserve">XIAO nRF52840 Sense</t>
  </si>
  <si>
    <t xml:space="preserve">Vi điều khiển + BLE + IMU</t>
  </si>
  <si>
    <t xml:space="preserve">Hshop</t>
  </si>
  <si>
    <t xml:space="preserve">Không</t>
  </si>
  <si>
    <t xml:space="preserve">Chưa mua</t>
  </si>
  <si>
    <t xml:space="preserve">1 con dự phòng</t>
  </si>
  <si>
    <t xml:space="preserve">Mở trang</t>
  </si>
  <si>
    <t xml:space="preserve">Module MAX30102</t>
  </si>
  <si>
    <t xml:space="preserve">Nhịp tim, SpO2 (PPG)</t>
  </si>
  <si>
    <t xml:space="preserve">Rẻ hơn ICDayroi (65.000đ). Có thể phải sửa điện trở kéo lên I2C 1,8 V</t>
  </si>
  <si>
    <t xml:space="preserve">Module AD8232</t>
  </si>
  <si>
    <t xml:space="preserve">ECG 1 chuyển đạo</t>
  </si>
  <si>
    <t xml:space="preserve">ICDayroi</t>
  </si>
  <si>
    <t xml:space="preserve">Hỏi shop có kèm dây 3 cực + miếng dán không</t>
  </si>
  <si>
    <t xml:space="preserve">Module DS18B20</t>
  </si>
  <si>
    <t xml:space="preserve">Nhiệt độ (bản thử nghiệm)</t>
  </si>
  <si>
    <t xml:space="preserve">Hiển thị, nguồn, lắp ráp</t>
  </si>
  <si>
    <t xml:space="preserve">Màn hình tròn GC9A01 1,28"</t>
  </si>
  <si>
    <t xml:space="preserve">Hiển thị trên đồng hồ</t>
  </si>
  <si>
    <t xml:space="preserve">Motor rung 1027</t>
  </si>
  <si>
    <t xml:space="preserve">Rung cảnh báo</t>
  </si>
  <si>
    <t xml:space="preserve">Breadboard MB-102 (830 lỗ)</t>
  </si>
  <si>
    <t xml:space="preserve">Lắp mạch thử</t>
  </si>
  <si>
    <t xml:space="preserve">Dây cắm đực-đực/đực-cái, header đực, 2 nút nhấn 6×6</t>
  </si>
  <si>
    <t xml:space="preserve">Lắp mạch thử, nút SOS</t>
  </si>
  <si>
    <t xml:space="preserve">Có</t>
  </si>
  <si>
    <t xml:space="preserve">Giá ước tính cho cả bộ</t>
  </si>
  <si>
    <t xml:space="preserve">Pin LiPo 3,7 V 250 mAh 502030 có mạch bảo vệ</t>
  </si>
  <si>
    <t xml:space="preserve">Nguồn cho bản đeo tay</t>
  </si>
  <si>
    <t xml:space="preserve">handphone.vn / Shopee</t>
  </si>
  <si>
    <t xml:space="preserve">Shop ở Hà Nội (ship 2–3 ngày); hoặc loại tương đương trên Shopee</t>
  </si>
  <si>
    <t xml:space="preserve">Miếng dán điện cực ECG (gói ~50 miếng)</t>
  </si>
  <si>
    <t xml:space="preserve">Đo ECG</t>
  </si>
  <si>
    <t xml:space="preserve">Shopee</t>
  </si>
  <si>
    <t xml:space="preserve">Giá ước tính</t>
  </si>
  <si>
    <t xml:space="preserve">Máy đo đối chứng</t>
  </si>
  <si>
    <t xml:space="preserve">Máy SpO2 kẹp ngón Jumper JPD-500E</t>
  </si>
  <si>
    <t xml:space="preserve">Đối chứng SpO2 (±2%) và nhịp tim (±2 bpm)</t>
  </si>
  <si>
    <t xml:space="preserve">Meta.vn</t>
  </si>
  <si>
    <t xml:space="preserve">JPD-500H trong Sổ tay đã ngừng bán</t>
  </si>
  <si>
    <t xml:space="preserve">Nhiệt kế điện tử Omron MC-246</t>
  </si>
  <si>
    <t xml:space="preserve">Đối chứng nhiệt độ (±0,1 °C)</t>
  </si>
  <si>
    <t xml:space="preserve">Tổng cộng</t>
  </si>
  <si>
    <t xml:space="preserve">Tổng hợp chi phí đợt 1</t>
  </si>
  <si>
    <t xml:space="preserve">Số món</t>
  </si>
  <si>
    <t xml:space="preserve">Dự kiến</t>
  </si>
  <si>
    <t xml:space="preserve">Phí ship (điền)</t>
  </si>
  <si>
    <t xml:space="preserve">Dự kiến + ship</t>
  </si>
  <si>
    <t xml:space="preserve">Tổng</t>
  </si>
  <si>
    <t xml:space="preserve">Kiểm tra: tổng bằng sheet Danh sách mua</t>
  </si>
  <si>
    <t xml:space="preserve">Số món đã nhận</t>
  </si>
  <si>
    <t xml:space="preserve">Ngân sách đợt 1 trong Sổ tay</t>
  </si>
  <si>
    <t xml:space="preserve">Từ mục 9 Sổ tay thực hiện đồ án (dự kiến ngày 04/10/2026)</t>
  </si>
  <si>
    <t xml:space="preserve">Còn lại so với ngân sách đợt 1</t>
  </si>
  <si>
    <t xml:space="preserve">Ngân sách cả đồ án (tối đa)</t>
  </si>
  <si>
    <t xml:space="preserve">Nhóm cho biết ngân sách 5–8 triệu</t>
  </si>
  <si>
    <t xml:space="preserve">Đồ nhóm đã có – không cần mua</t>
  </si>
  <si>
    <t xml:space="preserve">Máy huyết áp bắp tay</t>
  </si>
  <si>
    <t xml:space="preserve">Đối chứng và hiệu chuẩn huyết áp (PAT)</t>
  </si>
  <si>
    <t xml:space="preserve">Cáp USB-C truyền dữ liệu</t>
  </si>
  <si>
    <t xml:space="preserve">Nạp code cho XIAO</t>
  </si>
  <si>
    <t xml:space="preserve">Thiếc, nhựa thông, kìm cắt</t>
  </si>
  <si>
    <t xml:space="preserve">Hàn chân header</t>
  </si>
  <si>
    <t xml:space="preserve">Mỏ hàn, máy khò</t>
  </si>
  <si>
    <t xml:space="preserve">Hàn và sửa mạch</t>
  </si>
  <si>
    <t xml:space="preserve">Đồng hồ vạn năng</t>
  </si>
  <si>
    <t xml:space="preserve">Đo điện áp, kiểm tra chập</t>
  </si>
  <si>
    <t xml:space="preserve">Điện thoại Android</t>
  </si>
  <si>
    <t xml:space="preserve">Chạy app Flutter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</si>
</sst>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đ&quot;;\-#,##0&quot; đ&quot;;\-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hshop.vn/products/mach-seeed-studio-xiao-nrf52840-sense-bluetooth-5-0-imu-microphone-supports-arduino-and-circuitpython" TargetMode="External"/><Relationship Id="rId3" Type="http://schemas.openxmlformats.org/officeDocument/2006/relationships/hyperlink" Target="https://hshop.vn/products/cam-bien-nhip-tim-va-oxy-trong-mau-max30100" TargetMode="External"/><Relationship Id="rId4" Type="http://schemas.openxmlformats.org/officeDocument/2006/relationships/hyperlink" Target="https://icdayroi.com/cam-bien-nhip-ecg-ad8232-heart-rate-monitor" TargetMode="External"/><Relationship Id="rId5" Type="http://schemas.openxmlformats.org/officeDocument/2006/relationships/hyperlink" Target="https://icdayroi.com/module-ds18b20" TargetMode="External"/><Relationship Id="rId6" Type="http://schemas.openxmlformats.org/officeDocument/2006/relationships/hyperlink" Target="https://hshop.vn/man-hinh-lcd-tft-ips-1-28-inch-round-gc9a01-spi-interface" TargetMode="External"/><Relationship Id="rId7" Type="http://schemas.openxmlformats.org/officeDocument/2006/relationships/hyperlink" Target="https://icdayroi.com/dong-co-rung-1027" TargetMode="External"/><Relationship Id="rId8" Type="http://schemas.openxmlformats.org/officeDocument/2006/relationships/hyperlink" Target="https://icdayroi.com/de-test-board-bread-board-165x54mm" TargetMode="External"/><Relationship Id="rId9" Type="http://schemas.openxmlformats.org/officeDocument/2006/relationships/hyperlink" Target="https://icdayroi.com/breadboard-testboard-board-dong" TargetMode="External"/><Relationship Id="rId10" Type="http://schemas.openxmlformats.org/officeDocument/2006/relationships/hyperlink" Target="https://handphone.vn/pin-li-po-3-7v-250mah-502030-lithium-polymer-battery.html" TargetMode="External"/><Relationship Id="rId11" Type="http://schemas.openxmlformats.org/officeDocument/2006/relationships/hyperlink" Target="https://shopee.vn/search?keyword=mi&#7871;ng%20d&#225;n%20&#273;i&#7879;n%20c&#7921;c%20ecg" TargetMode="External"/><Relationship Id="rId12" Type="http://schemas.openxmlformats.org/officeDocument/2006/relationships/hyperlink" Target="https://meta.vn/may-do-nong-do-oxy-trong-mau-jumper-spo2-jpd-500e-p79737" TargetMode="External"/><Relationship Id="rId13" Type="http://schemas.openxmlformats.org/officeDocument/2006/relationships/hyperlink" Target="https://meta.vn/nhiet-ke-dien-tu-omron-mc-246-p5912" TargetMode="External"/><Relationship Id="rId1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0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6" t="n">
        <v>2</v>
      </c>
      <c r="G5" s="7" t="n">
        <v>485000</v>
      </c>
      <c r="H5" s="8" t="n">
        <f aca="false">F5*G5</f>
        <v>970000</v>
      </c>
      <c r="I5" s="4" t="s">
        <v>20</v>
      </c>
      <c r="J5" s="9" t="s">
        <v>21</v>
      </c>
      <c r="K5" s="10"/>
      <c r="L5" s="11"/>
      <c r="M5" s="5" t="s">
        <v>22</v>
      </c>
      <c r="N5" s="12" t="s">
        <v>23</v>
      </c>
    </row>
    <row r="6" customFormat="false" ht="23.85" hidden="false" customHeight="false" outlineLevel="0" collapsed="false">
      <c r="A6" s="4" t="n">
        <v>2</v>
      </c>
      <c r="B6" s="5" t="s">
        <v>16</v>
      </c>
      <c r="C6" s="5" t="s">
        <v>24</v>
      </c>
      <c r="D6" s="5" t="s">
        <v>25</v>
      </c>
      <c r="E6" s="5" t="s">
        <v>19</v>
      </c>
      <c r="F6" s="6" t="n">
        <v>2</v>
      </c>
      <c r="G6" s="7" t="n">
        <v>38000</v>
      </c>
      <c r="H6" s="8" t="n">
        <f aca="false">F6*G6</f>
        <v>76000</v>
      </c>
      <c r="I6" s="4" t="s">
        <v>20</v>
      </c>
      <c r="J6" s="9" t="s">
        <v>21</v>
      </c>
      <c r="K6" s="10"/>
      <c r="L6" s="11"/>
      <c r="M6" s="5" t="s">
        <v>26</v>
      </c>
      <c r="N6" s="12" t="s">
        <v>23</v>
      </c>
    </row>
    <row r="7" customFormat="false" ht="15" hidden="false" customHeight="false" outlineLevel="0" collapsed="false">
      <c r="A7" s="4" t="n">
        <v>3</v>
      </c>
      <c r="B7" s="5" t="s">
        <v>16</v>
      </c>
      <c r="C7" s="5" t="s">
        <v>27</v>
      </c>
      <c r="D7" s="5" t="s">
        <v>28</v>
      </c>
      <c r="E7" s="5" t="s">
        <v>29</v>
      </c>
      <c r="F7" s="6" t="n">
        <v>1</v>
      </c>
      <c r="G7" s="7" t="n">
        <v>210000</v>
      </c>
      <c r="H7" s="8" t="n">
        <f aca="false">F7*G7</f>
        <v>210000</v>
      </c>
      <c r="I7" s="4" t="s">
        <v>20</v>
      </c>
      <c r="J7" s="9" t="s">
        <v>21</v>
      </c>
      <c r="K7" s="10"/>
      <c r="L7" s="11"/>
      <c r="M7" s="5" t="s">
        <v>30</v>
      </c>
      <c r="N7" s="12" t="s">
        <v>23</v>
      </c>
    </row>
    <row r="8" customFormat="false" ht="15" hidden="false" customHeight="false" outlineLevel="0" collapsed="false">
      <c r="A8" s="4" t="n">
        <v>4</v>
      </c>
      <c r="B8" s="5" t="s">
        <v>16</v>
      </c>
      <c r="C8" s="5" t="s">
        <v>31</v>
      </c>
      <c r="D8" s="5" t="s">
        <v>32</v>
      </c>
      <c r="E8" s="5" t="s">
        <v>29</v>
      </c>
      <c r="F8" s="6" t="n">
        <v>1</v>
      </c>
      <c r="G8" s="7" t="n">
        <v>16000</v>
      </c>
      <c r="H8" s="8" t="n">
        <f aca="false">F8*G8</f>
        <v>16000</v>
      </c>
      <c r="I8" s="4" t="s">
        <v>20</v>
      </c>
      <c r="J8" s="9" t="s">
        <v>21</v>
      </c>
      <c r="K8" s="10"/>
      <c r="L8" s="11"/>
      <c r="M8" s="5"/>
      <c r="N8" s="12" t="s">
        <v>23</v>
      </c>
    </row>
    <row r="9" customFormat="false" ht="15" hidden="false" customHeight="false" outlineLevel="0" collapsed="false">
      <c r="A9" s="4" t="n">
        <v>5</v>
      </c>
      <c r="B9" s="5" t="s">
        <v>33</v>
      </c>
      <c r="C9" s="5" t="s">
        <v>34</v>
      </c>
      <c r="D9" s="5" t="s">
        <v>35</v>
      </c>
      <c r="E9" s="5" t="s">
        <v>19</v>
      </c>
      <c r="F9" s="6" t="n">
        <v>1</v>
      </c>
      <c r="G9" s="7" t="n">
        <v>115000</v>
      </c>
      <c r="H9" s="8" t="n">
        <f aca="false">F9*G9</f>
        <v>115000</v>
      </c>
      <c r="I9" s="4" t="s">
        <v>20</v>
      </c>
      <c r="J9" s="9" t="s">
        <v>21</v>
      </c>
      <c r="K9" s="10"/>
      <c r="L9" s="11"/>
      <c r="M9" s="5"/>
      <c r="N9" s="12" t="s">
        <v>23</v>
      </c>
    </row>
    <row r="10" customFormat="false" ht="15" hidden="false" customHeight="false" outlineLevel="0" collapsed="false">
      <c r="A10" s="4" t="n">
        <v>6</v>
      </c>
      <c r="B10" s="5" t="s">
        <v>33</v>
      </c>
      <c r="C10" s="5" t="s">
        <v>36</v>
      </c>
      <c r="D10" s="5" t="s">
        <v>37</v>
      </c>
      <c r="E10" s="5" t="s">
        <v>29</v>
      </c>
      <c r="F10" s="6" t="n">
        <v>2</v>
      </c>
      <c r="G10" s="7" t="n">
        <v>7000</v>
      </c>
      <c r="H10" s="8" t="n">
        <f aca="false">F10*G10</f>
        <v>14000</v>
      </c>
      <c r="I10" s="4" t="s">
        <v>20</v>
      </c>
      <c r="J10" s="9" t="s">
        <v>21</v>
      </c>
      <c r="K10" s="10"/>
      <c r="L10" s="11"/>
      <c r="M10" s="5"/>
      <c r="N10" s="12" t="s">
        <v>23</v>
      </c>
    </row>
    <row r="11" customFormat="false" ht="15" hidden="false" customHeight="false" outlineLevel="0" collapsed="false">
      <c r="A11" s="4" t="n">
        <v>7</v>
      </c>
      <c r="B11" s="5" t="s">
        <v>33</v>
      </c>
      <c r="C11" s="5" t="s">
        <v>38</v>
      </c>
      <c r="D11" s="5" t="s">
        <v>39</v>
      </c>
      <c r="E11" s="5" t="s">
        <v>29</v>
      </c>
      <c r="F11" s="6" t="n">
        <v>1</v>
      </c>
      <c r="G11" s="7" t="n">
        <v>25000</v>
      </c>
      <c r="H11" s="8" t="n">
        <f aca="false">F11*G11</f>
        <v>25000</v>
      </c>
      <c r="I11" s="4" t="s">
        <v>20</v>
      </c>
      <c r="J11" s="9" t="s">
        <v>21</v>
      </c>
      <c r="K11" s="10"/>
      <c r="L11" s="11"/>
      <c r="M11" s="5"/>
      <c r="N11" s="12" t="s">
        <v>23</v>
      </c>
    </row>
    <row r="12" customFormat="false" ht="23.85" hidden="false" customHeight="false" outlineLevel="0" collapsed="false">
      <c r="A12" s="4" t="n">
        <v>8</v>
      </c>
      <c r="B12" s="5" t="s">
        <v>33</v>
      </c>
      <c r="C12" s="5" t="s">
        <v>40</v>
      </c>
      <c r="D12" s="5" t="s">
        <v>41</v>
      </c>
      <c r="E12" s="5" t="s">
        <v>29</v>
      </c>
      <c r="F12" s="6" t="n">
        <v>1</v>
      </c>
      <c r="G12" s="7" t="n">
        <v>40000</v>
      </c>
      <c r="H12" s="8" t="n">
        <f aca="false">F12*G12</f>
        <v>40000</v>
      </c>
      <c r="I12" s="4" t="s">
        <v>42</v>
      </c>
      <c r="J12" s="9" t="s">
        <v>21</v>
      </c>
      <c r="K12" s="10"/>
      <c r="L12" s="11"/>
      <c r="M12" s="5" t="s">
        <v>43</v>
      </c>
      <c r="N12" s="12" t="s">
        <v>23</v>
      </c>
    </row>
    <row r="13" customFormat="false" ht="23.85" hidden="false" customHeight="false" outlineLevel="0" collapsed="false">
      <c r="A13" s="4" t="n">
        <v>9</v>
      </c>
      <c r="B13" s="5" t="s">
        <v>33</v>
      </c>
      <c r="C13" s="5" t="s">
        <v>44</v>
      </c>
      <c r="D13" s="5" t="s">
        <v>45</v>
      </c>
      <c r="E13" s="5" t="s">
        <v>46</v>
      </c>
      <c r="F13" s="6" t="n">
        <v>2</v>
      </c>
      <c r="G13" s="7" t="n">
        <v>35000</v>
      </c>
      <c r="H13" s="8" t="n">
        <f aca="false">F13*G13</f>
        <v>70000</v>
      </c>
      <c r="I13" s="4" t="s">
        <v>20</v>
      </c>
      <c r="J13" s="9" t="s">
        <v>21</v>
      </c>
      <c r="K13" s="10"/>
      <c r="L13" s="11"/>
      <c r="M13" s="5" t="s">
        <v>47</v>
      </c>
      <c r="N13" s="12" t="s">
        <v>23</v>
      </c>
    </row>
    <row r="14" customFormat="false" ht="15" hidden="false" customHeight="false" outlineLevel="0" collapsed="false">
      <c r="A14" s="4" t="n">
        <v>10</v>
      </c>
      <c r="B14" s="5" t="s">
        <v>33</v>
      </c>
      <c r="C14" s="5" t="s">
        <v>48</v>
      </c>
      <c r="D14" s="5" t="s">
        <v>49</v>
      </c>
      <c r="E14" s="5" t="s">
        <v>50</v>
      </c>
      <c r="F14" s="6" t="n">
        <v>1</v>
      </c>
      <c r="G14" s="7" t="n">
        <v>60000</v>
      </c>
      <c r="H14" s="8" t="n">
        <f aca="false">F14*G14</f>
        <v>60000</v>
      </c>
      <c r="I14" s="4" t="s">
        <v>42</v>
      </c>
      <c r="J14" s="9" t="s">
        <v>21</v>
      </c>
      <c r="K14" s="10"/>
      <c r="L14" s="11"/>
      <c r="M14" s="5" t="s">
        <v>51</v>
      </c>
      <c r="N14" s="12" t="s">
        <v>23</v>
      </c>
    </row>
    <row r="15" customFormat="false" ht="23.85" hidden="false" customHeight="false" outlineLevel="0" collapsed="false">
      <c r="A15" s="4" t="n">
        <v>11</v>
      </c>
      <c r="B15" s="5" t="s">
        <v>52</v>
      </c>
      <c r="C15" s="5" t="s">
        <v>53</v>
      </c>
      <c r="D15" s="5" t="s">
        <v>54</v>
      </c>
      <c r="E15" s="5" t="s">
        <v>55</v>
      </c>
      <c r="F15" s="6" t="n">
        <v>1</v>
      </c>
      <c r="G15" s="7" t="n">
        <v>380000</v>
      </c>
      <c r="H15" s="8" t="n">
        <f aca="false">F15*G15</f>
        <v>380000</v>
      </c>
      <c r="I15" s="4" t="s">
        <v>20</v>
      </c>
      <c r="J15" s="9" t="s">
        <v>21</v>
      </c>
      <c r="K15" s="10"/>
      <c r="L15" s="11"/>
      <c r="M15" s="5" t="s">
        <v>56</v>
      </c>
      <c r="N15" s="12" t="s">
        <v>23</v>
      </c>
    </row>
    <row r="16" customFormat="false" ht="15" hidden="false" customHeight="false" outlineLevel="0" collapsed="false">
      <c r="A16" s="4" t="n">
        <v>12</v>
      </c>
      <c r="B16" s="5" t="s">
        <v>52</v>
      </c>
      <c r="C16" s="5" t="s">
        <v>57</v>
      </c>
      <c r="D16" s="5" t="s">
        <v>58</v>
      </c>
      <c r="E16" s="5" t="s">
        <v>55</v>
      </c>
      <c r="F16" s="6" t="n">
        <v>1</v>
      </c>
      <c r="G16" s="7" t="n">
        <v>55000</v>
      </c>
      <c r="H16" s="8" t="n">
        <f aca="false">F16*G16</f>
        <v>55000</v>
      </c>
      <c r="I16" s="4" t="s">
        <v>20</v>
      </c>
      <c r="J16" s="9" t="s">
        <v>21</v>
      </c>
      <c r="K16" s="10"/>
      <c r="L16" s="11"/>
      <c r="M16" s="5"/>
      <c r="N16" s="12" t="s">
        <v>23</v>
      </c>
    </row>
    <row r="17" customFormat="false" ht="15" hidden="false" customHeight="false" outlineLevel="0" collapsed="false">
      <c r="A17" s="13"/>
      <c r="B17" s="13"/>
      <c r="C17" s="13" t="s">
        <v>59</v>
      </c>
      <c r="D17" s="13"/>
      <c r="E17" s="13"/>
      <c r="F17" s="13" t="n">
        <f aca="false">SUM(F5:F16)</f>
        <v>16</v>
      </c>
      <c r="G17" s="13"/>
      <c r="H17" s="14" t="n">
        <f aca="false">SUM(H5:H16)</f>
        <v>2031000</v>
      </c>
      <c r="I17" s="13"/>
      <c r="J17" s="13"/>
      <c r="K17" s="14" t="n">
        <f aca="false">SUM(K5:K16)</f>
        <v>0</v>
      </c>
      <c r="L17" s="13"/>
      <c r="M17" s="13"/>
      <c r="N17" s="13"/>
    </row>
  </sheetData>
  <conditionalFormatting sqref="A5:N16">
    <cfRule type="expression" priority="2" aboveAverage="0" equalAverage="0" bottom="0" percent="0" rank="0" text="" dxfId="0">
      <formula>$J5="Đã nhận"</formula>
    </cfRule>
    <cfRule type="expression" priority="3" aboveAverage="0" equalAverage="0" bottom="0" percent="0" rank="0" text="" dxfId="1">
      <formula>$J5="Đã đặt"</formula>
    </cfRule>
  </conditionalFormatting>
  <dataValidations count="1">
    <dataValidation allowBlank="false" errorStyle="stop" operator="between" showDropDown="false" showErrorMessage="false" showInputMessage="false" sqref="J5:J16" type="list">
      <formula1>"Chưa mua,Đã đặt,Đã nhận"</formula1>
      <formula2>0</formula2>
    </dataValidation>
  </dataValidations>
  <hyperlinks>
    <hyperlink ref="N5" r:id="rId2" display="Mở trang"/>
    <hyperlink ref="N6" r:id="rId3" display="Mở trang"/>
    <hyperlink ref="N7" r:id="rId4" display="Mở trang"/>
    <hyperlink ref="N8" r:id="rId5" display="Mở trang"/>
    <hyperlink ref="N9" r:id="rId6" display="Mở trang"/>
    <hyperlink ref="N10" r:id="rId7" display="Mở trang"/>
    <hyperlink ref="N11" r:id="rId8" display="Mở trang"/>
    <hyperlink ref="N12" r:id="rId9" display="Mở trang"/>
    <hyperlink ref="N13" r:id="rId10" display="Mở trang"/>
    <hyperlink ref="N14" r:id="rId11" display="Mở trang"/>
    <hyperlink ref="N15" r:id="rId12" display="Mở trang"/>
    <hyperlink ref="N16" r:id="rId13" display="Mở tra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15" t="s">
        <v>6</v>
      </c>
      <c r="B3" s="15" t="s">
        <v>61</v>
      </c>
      <c r="C3" s="15" t="s">
        <v>62</v>
      </c>
      <c r="D3" s="15" t="s">
        <v>63</v>
      </c>
      <c r="E3" s="15" t="s">
        <v>64</v>
      </c>
      <c r="F3" s="15" t="s">
        <v>12</v>
      </c>
    </row>
    <row r="4" customFormat="false" ht="15" hidden="false" customHeight="false" outlineLevel="0" collapsed="false">
      <c r="A4" s="16" t="s">
        <v>19</v>
      </c>
      <c r="B4" s="16" t="n">
        <f aca="false">COUNTIF('Danh sách mua'!$E$5:$E$16,A4)</f>
        <v>3</v>
      </c>
      <c r="C4" s="17" t="n">
        <f aca="false">SUMIF('Danh sách mua'!$E$5:$E$16,A4,'Danh sách mua'!$H$5:$H$16)</f>
        <v>1161000</v>
      </c>
      <c r="D4" s="18" t="n">
        <v>0</v>
      </c>
      <c r="E4" s="17" t="n">
        <f aca="false">C4+D4</f>
        <v>1161000</v>
      </c>
      <c r="F4" s="17" t="n">
        <f aca="false">SUMIF('Danh sách mua'!$E$5:$E$16,A4,'Danh sách mua'!$K$5:$K$16)</f>
        <v>0</v>
      </c>
    </row>
    <row r="5" customFormat="false" ht="15" hidden="false" customHeight="false" outlineLevel="0" collapsed="false">
      <c r="A5" s="16" t="s">
        <v>29</v>
      </c>
      <c r="B5" s="16" t="n">
        <f aca="false">COUNTIF('Danh sách mua'!$E$5:$E$16,A5)</f>
        <v>5</v>
      </c>
      <c r="C5" s="17" t="n">
        <f aca="false">SUMIF('Danh sách mua'!$E$5:$E$16,A5,'Danh sách mua'!$H$5:$H$16)</f>
        <v>305000</v>
      </c>
      <c r="D5" s="18" t="n">
        <v>0</v>
      </c>
      <c r="E5" s="17" t="n">
        <f aca="false">C5+D5</f>
        <v>305000</v>
      </c>
      <c r="F5" s="17" t="n">
        <f aca="false">SUMIF('Danh sách mua'!$E$5:$E$16,A5,'Danh sách mua'!$K$5:$K$16)</f>
        <v>0</v>
      </c>
    </row>
    <row r="6" customFormat="false" ht="15" hidden="false" customHeight="false" outlineLevel="0" collapsed="false">
      <c r="A6" s="16" t="s">
        <v>46</v>
      </c>
      <c r="B6" s="16" t="n">
        <f aca="false">COUNTIF('Danh sách mua'!$E$5:$E$16,A6)</f>
        <v>1</v>
      </c>
      <c r="C6" s="17" t="n">
        <f aca="false">SUMIF('Danh sách mua'!$E$5:$E$16,A6,'Danh sách mua'!$H$5:$H$16)</f>
        <v>70000</v>
      </c>
      <c r="D6" s="18" t="n">
        <v>0</v>
      </c>
      <c r="E6" s="17" t="n">
        <f aca="false">C6+D6</f>
        <v>70000</v>
      </c>
      <c r="F6" s="17" t="n">
        <f aca="false">SUMIF('Danh sách mua'!$E$5:$E$16,A6,'Danh sách mua'!$K$5:$K$16)</f>
        <v>0</v>
      </c>
    </row>
    <row r="7" customFormat="false" ht="15" hidden="false" customHeight="false" outlineLevel="0" collapsed="false">
      <c r="A7" s="16" t="s">
        <v>50</v>
      </c>
      <c r="B7" s="16" t="n">
        <f aca="false">COUNTIF('Danh sách mua'!$E$5:$E$16,A7)</f>
        <v>1</v>
      </c>
      <c r="C7" s="17" t="n">
        <f aca="false">SUMIF('Danh sách mua'!$E$5:$E$16,A7,'Danh sách mua'!$H$5:$H$16)</f>
        <v>60000</v>
      </c>
      <c r="D7" s="18" t="n">
        <v>0</v>
      </c>
      <c r="E7" s="17" t="n">
        <f aca="false">C7+D7</f>
        <v>60000</v>
      </c>
      <c r="F7" s="17" t="n">
        <f aca="false">SUMIF('Danh sách mua'!$E$5:$E$16,A7,'Danh sách mua'!$K$5:$K$16)</f>
        <v>0</v>
      </c>
    </row>
    <row r="8" customFormat="false" ht="15" hidden="false" customHeight="false" outlineLevel="0" collapsed="false">
      <c r="A8" s="16" t="s">
        <v>55</v>
      </c>
      <c r="B8" s="16" t="n">
        <f aca="false">COUNTIF('Danh sách mua'!$E$5:$E$16,A8)</f>
        <v>2</v>
      </c>
      <c r="C8" s="17" t="n">
        <f aca="false">SUMIF('Danh sách mua'!$E$5:$E$16,A8,'Danh sách mua'!$H$5:$H$16)</f>
        <v>435000</v>
      </c>
      <c r="D8" s="18" t="n">
        <v>0</v>
      </c>
      <c r="E8" s="17" t="n">
        <f aca="false">C8+D8</f>
        <v>435000</v>
      </c>
      <c r="F8" s="17" t="n">
        <f aca="false">SUMIF('Danh sách mua'!$E$5:$E$16,A8,'Danh sách mua'!$K$5:$K$16)</f>
        <v>0</v>
      </c>
    </row>
    <row r="9" customFormat="false" ht="15" hidden="false" customHeight="false" outlineLevel="0" collapsed="false">
      <c r="A9" s="13" t="s">
        <v>65</v>
      </c>
      <c r="B9" s="13" t="n">
        <f aca="false">SUM(B4:B8)</f>
        <v>12</v>
      </c>
      <c r="C9" s="14" t="n">
        <f aca="false">SUM(C4:C8)</f>
        <v>2031000</v>
      </c>
      <c r="D9" s="14" t="n">
        <f aca="false">SUM(D4:D8)</f>
        <v>0</v>
      </c>
      <c r="E9" s="14" t="n">
        <f aca="false">SUM(E4:E8)</f>
        <v>2031000</v>
      </c>
      <c r="F9" s="14" t="n">
        <f aca="false">SUM(F4:F8)</f>
        <v>0</v>
      </c>
    </row>
    <row r="11" customFormat="false" ht="15" hidden="false" customHeight="false" outlineLevel="0" collapsed="false">
      <c r="A11" s="19" t="s">
        <v>66</v>
      </c>
      <c r="B11" s="20" t="str">
        <f aca="false">IF(C9='Danh sách mua'!H17,"Khớp","Lệch – kiểm tra cột Nơi mua")</f>
        <v>Khớp</v>
      </c>
    </row>
    <row r="12" customFormat="false" ht="15" hidden="false" customHeight="false" outlineLevel="0" collapsed="false">
      <c r="A12" s="19" t="s">
        <v>67</v>
      </c>
      <c r="B12" s="20" t="str">
        <f aca="false">COUNTIF('Danh sách mua'!$J$5:$J$16,"Đã nhận")&amp;" / "&amp;COUNTA('Danh sách mua'!$J$5:$J$16)</f>
        <v>0 / 12</v>
      </c>
    </row>
    <row r="13" customFormat="false" ht="15" hidden="false" customHeight="false" outlineLevel="0" collapsed="false">
      <c r="A13" s="19" t="s">
        <v>68</v>
      </c>
      <c r="B13" s="21" t="n">
        <v>3200000</v>
      </c>
      <c r="C13" s="2" t="s">
        <v>69</v>
      </c>
    </row>
    <row r="14" customFormat="false" ht="15" hidden="false" customHeight="false" outlineLevel="0" collapsed="false">
      <c r="A14" s="19" t="s">
        <v>70</v>
      </c>
      <c r="B14" s="22" t="n">
        <f aca="false">B13-E9</f>
        <v>1169000</v>
      </c>
    </row>
    <row r="15" customFormat="false" ht="15" hidden="false" customHeight="false" outlineLevel="0" collapsed="false">
      <c r="A15" s="19" t="s">
        <v>71</v>
      </c>
      <c r="B15" s="21" t="n">
        <v>8000000</v>
      </c>
      <c r="C15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3" t="s">
        <v>4</v>
      </c>
      <c r="B3" s="23" t="s">
        <v>5</v>
      </c>
    </row>
    <row r="4" customFormat="false" ht="15" hidden="false" customHeight="false" outlineLevel="0" collapsed="false">
      <c r="A4" s="24" t="s">
        <v>74</v>
      </c>
      <c r="B4" s="24" t="s">
        <v>75</v>
      </c>
    </row>
    <row r="5" customFormat="false" ht="15" hidden="false" customHeight="false" outlineLevel="0" collapsed="false">
      <c r="A5" s="24" t="s">
        <v>76</v>
      </c>
      <c r="B5" s="24" t="s">
        <v>77</v>
      </c>
    </row>
    <row r="6" customFormat="false" ht="15" hidden="false" customHeight="false" outlineLevel="0" collapsed="false">
      <c r="A6" s="24" t="s">
        <v>78</v>
      </c>
      <c r="B6" s="24" t="s">
        <v>79</v>
      </c>
    </row>
    <row r="7" customFormat="false" ht="15" hidden="false" customHeight="false" outlineLevel="0" collapsed="false">
      <c r="A7" s="24" t="s">
        <v>80</v>
      </c>
      <c r="B7" s="24" t="s">
        <v>81</v>
      </c>
    </row>
    <row r="8" customFormat="false" ht="15" hidden="false" customHeight="false" outlineLevel="0" collapsed="false">
      <c r="A8" s="24" t="s">
        <v>82</v>
      </c>
      <c r="B8" s="24" t="s">
        <v>83</v>
      </c>
    </row>
    <row r="9" customFormat="false" ht="15" hidden="false" customHeight="false" outlineLevel="0" collapsed="false">
      <c r="A9" s="24" t="s">
        <v>84</v>
      </c>
      <c r="B9" s="2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2026-10-05T10:56:30Z</dcterms:created>
  <dc:creator>openpyxl</dc:creator>
  <dc:description/>
  <dc:language>en-US</dc:language>
  <cp:lastModifiedBy/>
  <dcterms:modified xsi:type="dcterms:W3CDTF">2026-10-05T10:56:30Z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